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davidpark/Desktop/"/>
    </mc:Choice>
  </mc:AlternateContent>
  <xr:revisionPtr revIDLastSave="0" documentId="8_{87334478-29F2-EC40-A585-8EDE795CA2F7}" xr6:coauthVersionLast="47" xr6:coauthVersionMax="47" xr10:uidLastSave="{00000000-0000-0000-0000-000000000000}"/>
  <bookViews>
    <workbookView xWindow="6120" yWindow="2760" windowWidth="24520" windowHeight="16400" xr2:uid="{501B9B94-96CC-455B-B13A-95E9758F7723}"/>
  </bookViews>
  <sheets>
    <sheet name="Annual Funding Request"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3" l="1"/>
  <c r="C12" i="3"/>
  <c r="C17" i="3"/>
  <c r="C27" i="3"/>
  <c r="C31" i="3"/>
  <c r="C33" i="3" l="1"/>
  <c r="C34" i="3" s="1"/>
  <c r="C36" i="3" s="1"/>
  <c r="B5" i="3" s="1"/>
  <c r="C28" i="3"/>
</calcChain>
</file>

<file path=xl/sharedStrings.xml><?xml version="1.0" encoding="utf-8"?>
<sst xmlns="http://schemas.openxmlformats.org/spreadsheetml/2006/main" count="58" uniqueCount="58">
  <si>
    <t>OACIP Annual Funding Request Report</t>
  </si>
  <si>
    <t>Journal Name:</t>
  </si>
  <si>
    <t>Total Annual Funding Requested (USD):</t>
  </si>
  <si>
    <t>Category</t>
  </si>
  <si>
    <t>Expense Item</t>
  </si>
  <si>
    <r>
      <t>Annual Request (USD)</t>
    </r>
    <r>
      <rPr>
        <b/>
        <vertAlign val="superscript"/>
        <sz val="13"/>
        <color theme="1"/>
        <rFont val="Calibri"/>
        <family val="2"/>
      </rPr>
      <t>1</t>
    </r>
  </si>
  <si>
    <r>
      <t>Notes</t>
    </r>
    <r>
      <rPr>
        <b/>
        <vertAlign val="superscript"/>
        <sz val="13"/>
        <color theme="1"/>
        <rFont val="Calibri"/>
        <family val="2"/>
      </rPr>
      <t>2</t>
    </r>
  </si>
  <si>
    <t>One-Time Costs</t>
  </si>
  <si>
    <t>Journal Migration</t>
  </si>
  <si>
    <t>One-time costs are expenses that occur once or infrequently, such as setup, implementation, or project-specific costs.</t>
  </si>
  <si>
    <t>Template / Design Creation</t>
  </si>
  <si>
    <t>Other One-Time Costs (Provide the amount of any additional costs in aggregate, and list the expenses in the Notes section.)</t>
  </si>
  <si>
    <t>Total One-Time Costs</t>
  </si>
  <si>
    <t>Fixed Costs</t>
  </si>
  <si>
    <t>Annual Hosting / Platform Fees</t>
  </si>
  <si>
    <t>Fixed costs are ongoing expenses that remain consistent over time, such as salaries, hosting, and software subscriptions.</t>
  </si>
  <si>
    <t>Software Subscriptions</t>
  </si>
  <si>
    <t>DOI Registration (Annual)</t>
  </si>
  <si>
    <t>Other Fixed Costs (Provide the amount of any additional costs in aggregate, and list the expenses in the Notes section.)</t>
  </si>
  <si>
    <t>Total Fixed Costs</t>
  </si>
  <si>
    <t>Variable Costs</t>
  </si>
  <si>
    <t>Copyediting</t>
  </si>
  <si>
    <t>Variable costs are expenses that change based on activity or output, such as production, services, or usage-based fees.</t>
  </si>
  <si>
    <t>Proofreading / Formatting</t>
  </si>
  <si>
    <t>Production / Layout</t>
  </si>
  <si>
    <t>Project Management</t>
  </si>
  <si>
    <t>Marketing / Outreach</t>
  </si>
  <si>
    <t>Archiving / Preservation (e.g., CLOCKSS, LOCKSS)</t>
  </si>
  <si>
    <t>Other Variable Costs  (Provide the amount of any additional costs in aggregate, and list the expenses in the Notes section.)</t>
  </si>
  <si>
    <t>Total Variable Costs</t>
  </si>
  <si>
    <t>Other Costs</t>
  </si>
  <si>
    <t>Provide the amount of any additional expenses in aggregate, and list the expenses in the Notes section.</t>
  </si>
  <si>
    <t>Total Other Costs</t>
  </si>
  <si>
    <t>Total Operating Costs</t>
  </si>
  <si>
    <r>
      <t xml:space="preserve">Annual Reserve Fund Contributions (Optional)
</t>
    </r>
    <r>
      <rPr>
        <i/>
        <sz val="11"/>
        <color theme="1"/>
        <rFont val="Calibri"/>
        <family val="2"/>
      </rPr>
      <t xml:space="preserve">Fund to support unexpected costs and professionalization or innovation of the journal. </t>
    </r>
  </si>
  <si>
    <r>
      <t>Contingency Fund Contribution</t>
    </r>
    <r>
      <rPr>
        <vertAlign val="superscript"/>
        <sz val="12"/>
        <color theme="1"/>
        <rFont val="Calibri"/>
        <family val="2"/>
      </rPr>
      <t>3</t>
    </r>
    <r>
      <rPr>
        <sz val="12"/>
        <color theme="1"/>
        <rFont val="Calibri"/>
        <family val="2"/>
      </rPr>
      <t xml:space="preserve"> </t>
    </r>
  </si>
  <si>
    <r>
      <t>Journal Professionalization/Innovation Fund</t>
    </r>
    <r>
      <rPr>
        <vertAlign val="superscript"/>
        <sz val="12"/>
        <color theme="1"/>
        <rFont val="Calibri"/>
        <family val="2"/>
      </rPr>
      <t>4</t>
    </r>
    <r>
      <rPr>
        <sz val="12"/>
        <color theme="1"/>
        <rFont val="Calibri"/>
        <family val="2"/>
      </rPr>
      <t xml:space="preserve"> </t>
    </r>
  </si>
  <si>
    <t>Describe what you intend to spend these funds on here</t>
  </si>
  <si>
    <t>Total Reserve Fund Contributions</t>
  </si>
  <si>
    <t>TOTAL ANNUAL JOURNAL FUNDING REQUEST</t>
  </si>
  <si>
    <r>
      <t>Lyrasis Administrative Fee</t>
    </r>
    <r>
      <rPr>
        <b/>
        <vertAlign val="superscript"/>
        <sz val="12"/>
        <color theme="1"/>
        <rFont val="Calibri"/>
        <family val="2"/>
      </rPr>
      <t>5</t>
    </r>
  </si>
  <si>
    <t xml:space="preserve">7.5% administrative fee applied to invoiced amounts to support program administration. </t>
  </si>
  <si>
    <t>This amount is automatically calculated in the form and does not require manual entry.</t>
  </si>
  <si>
    <r>
      <t>TOTAL OACIP ANNUAL FUNDING REQUEST</t>
    </r>
    <r>
      <rPr>
        <b/>
        <vertAlign val="superscript"/>
        <sz val="12"/>
        <color theme="1"/>
        <rFont val="Calibri"/>
        <family val="2"/>
      </rPr>
      <t>6</t>
    </r>
  </si>
  <si>
    <t>*Instructions for Use</t>
  </si>
  <si>
    <t xml:space="preserve"> </t>
  </si>
  <si>
    <t>OACIP is a funding program that operates in three year terms, and participating journals have the opportunity to renew at the end of each term. It supports the sustainable operation and development of scholarly journals by helping them secure funding and plan for long term stability. The first year of each term is dedicated to securing institutional commitments for the full amount of funding required to support a journal’s annual operations. These funds are then distributed across the three year period to support ongoing publishing activities, reduce financial volatility, and enable planned improvements and growth.
The Annual Funding Request Report is used to document all expected annual costs associated with running the journal and to help establish a clear annual OACIP funding goal.</t>
  </si>
  <si>
    <t>Declare the amount you ultimately hope to raise for your contingency fund here.</t>
  </si>
  <si>
    <t>1: Annual Request (USD): Enter the annual funding needing to cover the expense.</t>
  </si>
  <si>
    <t>2: Notes: Include any explanations or context if needed.</t>
  </si>
  <si>
    <t>5: Administrative Fee: A 7.5 percent administrative fee is applied to invoiced amounts to support program administration. This fee is retained from distributed funds and is only applied to amounts that are successfully invoiced and raised.</t>
  </si>
  <si>
    <t>6: Total Funding Request: The total annual journal funding request represents the sum of all operating costs and optional reserve contributions, forming the basis for distribution across the three year funding cycle.</t>
  </si>
  <si>
    <t>4: Journal Professionalization/Innovation Fund: Supports activities that strengthen the journal’s long term sustainability, capacity, and impact. This may include improvements to editorial workflows, peer review systems, publishing infrastructure, accessibility, metadata quality, and staff or volunteer training, as well as other initiatives that enhance professional standards or enable innovation in publishing practices.
It is recommended that journals plan for an annual allocation representing a modest but consistent percentage of operating costs (typically 5–15 percent), scaled to the journal’s size and capacity. Unlike the contingency fund, this allocation does not have to reach a fixed reserve target. It can support ongoing, incremental improvements over time. A multi-year roadmap is encouraged to guide investments and allow funds to build toward larger strategic initiatives where appropriate.</t>
  </si>
  <si>
    <t>3: Contingency Fund Contribution: It is recommended that journals work toward building a contingency reserve equivalent to one year of operating costs. Rather than seeking full funding in a single year, journals should incorporate incremental support towards the contingency fund into the annual funding request. A practical approach is to plan for an annual allocation of OACIP funding over the three year program period that steadily advances progress toward this overall reserve target. Depending on the amount needed to cover one year of operational expenses, it may take more than one three-year period to reach the goal.</t>
  </si>
  <si>
    <t>Through CrossRef.</t>
  </si>
  <si>
    <t xml:space="preserve">A capacious category. This covers Adobe, Airtable, Fastmail for email, Buttondown for listserv support, and more. </t>
  </si>
  <si>
    <t>History of Media Studies</t>
  </si>
  <si>
    <t>Translation and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</si>
</sst>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Aptos Narrow"/>
      <family val="2"/>
      <scheme val="minor"/>
    </font>
    <font>
      <sz val="12"/>
      <color theme="1"/>
      <name val="Calibri"/>
      <family val="2"/>
    </font>
    <font>
      <b/>
      <sz val="15"/>
      <color theme="1"/>
      <name val="Calibri"/>
      <family val="2"/>
    </font>
    <font>
      <b/>
      <sz val="12"/>
      <color theme="1"/>
      <name val="Calibri"/>
      <family val="2"/>
    </font>
    <font>
      <b/>
      <sz val="13"/>
      <color theme="1"/>
      <name val="Calibri"/>
      <family val="2"/>
    </font>
    <font>
      <i/>
      <sz val="11"/>
      <color theme="1"/>
      <name val="Calibri"/>
      <family val="2"/>
    </font>
    <font>
      <b/>
      <vertAlign val="superscript"/>
      <sz val="13"/>
      <color theme="1"/>
      <name val="Calibri"/>
      <family val="2"/>
    </font>
    <font>
      <vertAlign val="superscript"/>
      <sz val="12"/>
      <color theme="1"/>
      <name val="Calibri"/>
      <family val="2"/>
    </font>
    <font>
      <b/>
      <vertAlign val="superscript"/>
      <sz val="12"/>
      <color theme="1"/>
      <name val="Calibri"/>
      <family val="2"/>
    </font>
  </fonts>
  <fills count="6">
    <fill>
      <patternFill patternType="none"/>
    </fill>
    <fill>
      <patternFill patternType="gray125"/>
    </fill>
    <fill>
      <patternFill patternType="solid">
        <fgColor rgb="FF000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double">
        <color indexed="64"/>
      </bottom>
      <diagonal/>
    </border>
  </borders>
  <cellStyleXfs count="1">
    <xf numFmtId="0" fontId="0" fillId="0" borderId="0"/>
  </cellStyleXfs>
  <cellXfs count="42">
    <xf numFmtId="0" fontId="0" fillId="0" borderId="0" xfId="0"/>
    <xf numFmtId="164" fontId="1" fillId="0" borderId="0" xfId="0" applyNumberFormat="1" applyFont="1" applyAlignment="1" applyProtection="1">
      <alignment vertical="center" wrapText="1"/>
      <protection locked="0"/>
    </xf>
    <xf numFmtId="0" fontId="1" fillId="3" borderId="1" xfId="0" applyFont="1" applyFill="1" applyBorder="1" applyAlignment="1" applyProtection="1">
      <alignment vertical="center" wrapText="1"/>
      <protection locked="0"/>
    </xf>
    <xf numFmtId="0" fontId="2" fillId="0" borderId="0" xfId="0" applyFont="1" applyAlignment="1" applyProtection="1">
      <alignment vertical="center"/>
      <protection locked="0"/>
    </xf>
    <xf numFmtId="0" fontId="1" fillId="0" borderId="0" xfId="0" applyFont="1" applyAlignment="1" applyProtection="1">
      <alignment vertical="center" wrapText="1"/>
      <protection locked="0"/>
    </xf>
    <xf numFmtId="0" fontId="0" fillId="0" borderId="0" xfId="0" applyProtection="1">
      <protection locked="0"/>
    </xf>
    <xf numFmtId="0" fontId="1" fillId="0" borderId="0" xfId="0" applyFont="1" applyAlignment="1" applyProtection="1">
      <alignment horizontal="left" vertical="center" wrapText="1"/>
      <protection locked="0"/>
    </xf>
    <xf numFmtId="0" fontId="3" fillId="0" borderId="0" xfId="0" applyFont="1" applyAlignment="1" applyProtection="1">
      <alignment horizontal="right" vertical="center" wrapText="1"/>
      <protection locked="0"/>
    </xf>
    <xf numFmtId="0" fontId="1" fillId="0" borderId="2" xfId="0" applyFont="1" applyBorder="1" applyAlignment="1" applyProtection="1">
      <alignment vertical="center" wrapText="1"/>
      <protection locked="0"/>
    </xf>
    <xf numFmtId="164" fontId="1" fillId="0" borderId="0" xfId="0" applyNumberFormat="1" applyFont="1" applyAlignment="1" applyProtection="1">
      <alignment horizontal="left" vertical="center" wrapText="1"/>
      <protection locked="0"/>
    </xf>
    <xf numFmtId="0" fontId="4" fillId="0" borderId="1" xfId="0" applyFont="1" applyBorder="1" applyAlignment="1" applyProtection="1">
      <alignment horizontal="center" vertical="center" wrapText="1"/>
      <protection locked="0"/>
    </xf>
    <xf numFmtId="164" fontId="4" fillId="0" borderId="1" xfId="0" applyNumberFormat="1" applyFont="1" applyBorder="1" applyAlignment="1" applyProtection="1">
      <alignment horizontal="center" vertical="center" wrapText="1"/>
      <protection locked="0"/>
    </xf>
    <xf numFmtId="0" fontId="3" fillId="0" borderId="4" xfId="0" applyFont="1" applyBorder="1" applyAlignment="1" applyProtection="1">
      <alignment horizontal="right" vertical="center" wrapText="1"/>
      <protection locked="0"/>
    </xf>
    <xf numFmtId="0" fontId="1" fillId="0" borderId="1" xfId="0" applyFont="1" applyBorder="1" applyAlignment="1" applyProtection="1">
      <alignment vertical="center" wrapText="1"/>
      <protection locked="0"/>
    </xf>
    <xf numFmtId="164" fontId="1" fillId="0" borderId="1" xfId="0" applyNumberFormat="1" applyFont="1" applyBorder="1" applyAlignment="1" applyProtection="1">
      <alignment horizontal="center" vertical="center" wrapText="1"/>
      <protection locked="0"/>
    </xf>
    <xf numFmtId="0" fontId="3" fillId="3" borderId="1" xfId="0" applyFont="1" applyFill="1" applyBorder="1" applyAlignment="1" applyProtection="1">
      <alignment horizontal="right" vertical="center" wrapText="1"/>
      <protection locked="0"/>
    </xf>
    <xf numFmtId="0" fontId="3" fillId="0" borderId="1" xfId="0" applyFont="1" applyBorder="1" applyAlignment="1" applyProtection="1">
      <alignment horizontal="right" vertical="center" wrapText="1"/>
      <protection locked="0"/>
    </xf>
    <xf numFmtId="0" fontId="3" fillId="3" borderId="4" xfId="0" applyFont="1" applyFill="1" applyBorder="1" applyAlignment="1" applyProtection="1">
      <alignment horizontal="right" vertical="center" wrapText="1"/>
      <protection locked="0"/>
    </xf>
    <xf numFmtId="9" fontId="1" fillId="0" borderId="1" xfId="0" applyNumberFormat="1" applyFont="1" applyBorder="1" applyAlignment="1" applyProtection="1">
      <alignment vertical="center" wrapText="1"/>
      <protection locked="0"/>
    </xf>
    <xf numFmtId="0" fontId="1" fillId="3" borderId="1" xfId="0" applyFont="1" applyFill="1" applyBorder="1" applyAlignment="1" applyProtection="1">
      <alignment wrapText="1"/>
      <protection locked="0"/>
    </xf>
    <xf numFmtId="164" fontId="1" fillId="0" borderId="1" xfId="0" applyNumberFormat="1" applyFont="1" applyBorder="1" applyAlignment="1" applyProtection="1">
      <alignment vertical="center" wrapText="1"/>
      <protection locked="0"/>
    </xf>
    <xf numFmtId="0" fontId="3" fillId="5" borderId="1" xfId="0" applyFont="1" applyFill="1" applyBorder="1" applyAlignment="1" applyProtection="1">
      <alignment horizontal="right" vertical="center" wrapText="1"/>
      <protection locked="0"/>
    </xf>
    <xf numFmtId="0" fontId="1" fillId="5" borderId="1" xfId="0" applyFont="1" applyFill="1" applyBorder="1" applyAlignment="1" applyProtection="1">
      <alignment vertical="center" wrapText="1"/>
      <protection locked="0"/>
    </xf>
    <xf numFmtId="0" fontId="1" fillId="2" borderId="1" xfId="0" applyFont="1" applyFill="1" applyBorder="1" applyAlignment="1" applyProtection="1">
      <alignment vertical="center" wrapText="1"/>
      <protection locked="0"/>
    </xf>
    <xf numFmtId="164" fontId="1" fillId="2" borderId="1" xfId="0" applyNumberFormat="1" applyFont="1" applyFill="1" applyBorder="1" applyAlignment="1" applyProtection="1">
      <alignment vertical="center" wrapText="1"/>
      <protection locked="0"/>
    </xf>
    <xf numFmtId="0" fontId="3" fillId="4" borderId="1" xfId="0" applyFont="1" applyFill="1" applyBorder="1" applyAlignment="1" applyProtection="1">
      <alignment horizontal="right" vertical="center" wrapText="1"/>
      <protection locked="0"/>
    </xf>
    <xf numFmtId="0" fontId="1" fillId="4" borderId="1" xfId="0" applyFont="1" applyFill="1" applyBorder="1" applyAlignment="1" applyProtection="1">
      <alignment vertical="center" wrapText="1"/>
      <protection locked="0"/>
    </xf>
    <xf numFmtId="0" fontId="0" fillId="0" borderId="0" xfId="0" applyAlignment="1" applyProtection="1">
      <alignment vertical="center"/>
      <protection locked="0"/>
    </xf>
    <xf numFmtId="164" fontId="0" fillId="0" borderId="0" xfId="0" applyNumberFormat="1" applyProtection="1">
      <protection locked="0"/>
    </xf>
    <xf numFmtId="164" fontId="3" fillId="5" borderId="1" xfId="0" applyNumberFormat="1"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164" fontId="1" fillId="0" borderId="1" xfId="0" applyNumberFormat="1" applyFont="1" applyBorder="1" applyAlignment="1">
      <alignment horizontal="center" vertical="center" wrapText="1"/>
    </xf>
    <xf numFmtId="164" fontId="3" fillId="3" borderId="1" xfId="0" applyNumberFormat="1" applyFont="1" applyFill="1" applyBorder="1" applyAlignment="1">
      <alignment horizontal="center" vertical="center" wrapText="1"/>
    </xf>
    <xf numFmtId="164" fontId="1" fillId="0" borderId="3" xfId="0" applyNumberFormat="1" applyFont="1" applyBorder="1" applyAlignment="1">
      <alignment horizontal="left" vertical="center" wrapText="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wrapText="1"/>
      <protection locked="0"/>
    </xf>
    <xf numFmtId="0" fontId="1" fillId="0" borderId="3" xfId="0" applyFont="1" applyBorder="1" applyAlignment="1" applyProtection="1">
      <alignment horizontal="left" vertical="center"/>
      <protection locked="0"/>
    </xf>
    <xf numFmtId="0" fontId="5" fillId="0" borderId="6" xfId="0" applyFont="1" applyBorder="1" applyAlignment="1" applyProtection="1">
      <alignment horizontal="right" vertical="top" wrapText="1"/>
      <protection locked="0"/>
    </xf>
    <xf numFmtId="0" fontId="5" fillId="0" borderId="5" xfId="0" applyFont="1" applyBorder="1" applyAlignment="1" applyProtection="1">
      <alignment horizontal="right" vertical="top" wrapText="1"/>
      <protection locked="0"/>
    </xf>
    <xf numFmtId="0" fontId="3" fillId="0" borderId="4" xfId="0" applyFont="1" applyBorder="1" applyAlignment="1" applyProtection="1">
      <alignment horizontal="right" vertical="top" wrapText="1"/>
      <protection locked="0"/>
    </xf>
    <xf numFmtId="0" fontId="3" fillId="0" borderId="5" xfId="0" applyFont="1" applyBorder="1" applyAlignment="1" applyProtection="1">
      <alignment horizontal="right" vertical="top" wrapText="1"/>
      <protection locked="0"/>
    </xf>
    <xf numFmtId="0" fontId="4" fillId="0" borderId="7" xfId="0" applyFont="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7375-8586-4405-984F-6EAE809241A1}">
  <dimension ref="A1:D48"/>
  <sheetViews>
    <sheetView showGridLines="0" tabSelected="1" zoomScale="75" workbookViewId="0">
      <selection activeCell="C19" sqref="C19"/>
    </sheetView>
  </sheetViews>
  <sheetFormatPr baseColWidth="10" defaultColWidth="8.83203125" defaultRowHeight="15" x14ac:dyDescent="0.2"/>
  <cols>
    <col min="1" max="1" width="48.83203125" style="5" customWidth="1"/>
    <col min="2" max="2" width="43.5" style="5" customWidth="1"/>
    <col min="3" max="3" width="25.5" style="28" customWidth="1"/>
    <col min="4" max="4" width="50.5" style="5" customWidth="1"/>
    <col min="5" max="16384" width="8.83203125" style="5"/>
  </cols>
  <sheetData>
    <row r="1" spans="1:4" ht="20" x14ac:dyDescent="0.2">
      <c r="A1" s="3" t="s">
        <v>0</v>
      </c>
      <c r="B1" s="4"/>
      <c r="C1" s="1"/>
      <c r="D1" s="4"/>
    </row>
    <row r="2" spans="1:4" ht="125" customHeight="1" x14ac:dyDescent="0.2">
      <c r="A2" s="35" t="s">
        <v>46</v>
      </c>
      <c r="B2" s="35"/>
      <c r="C2" s="35"/>
      <c r="D2" s="35"/>
    </row>
    <row r="3" spans="1:4" ht="21" customHeight="1" x14ac:dyDescent="0.2">
      <c r="A3" s="6"/>
      <c r="B3" s="6"/>
      <c r="C3" s="6"/>
      <c r="D3" s="6"/>
    </row>
    <row r="4" spans="1:4" ht="24.75" customHeight="1" x14ac:dyDescent="0.2">
      <c r="A4" s="7" t="s">
        <v>1</v>
      </c>
      <c r="B4" s="8" t="s">
        <v>56</v>
      </c>
      <c r="C4" s="1"/>
      <c r="D4" s="4"/>
    </row>
    <row r="5" spans="1:4" ht="23.25" customHeight="1" x14ac:dyDescent="0.2">
      <c r="A5" s="7" t="s">
        <v>2</v>
      </c>
      <c r="B5" s="33">
        <f>C36</f>
        <v>12577.5</v>
      </c>
      <c r="C5" s="1"/>
      <c r="D5" s="4"/>
    </row>
    <row r="6" spans="1:4" ht="16" x14ac:dyDescent="0.2">
      <c r="A6" s="7"/>
      <c r="B6" s="9"/>
      <c r="C6" s="1"/>
      <c r="D6" s="4"/>
    </row>
    <row r="7" spans="1:4" ht="16" x14ac:dyDescent="0.2">
      <c r="A7" s="4"/>
      <c r="B7" s="4"/>
      <c r="C7" s="1"/>
      <c r="D7" s="4"/>
    </row>
    <row r="8" spans="1:4" ht="50" customHeight="1" x14ac:dyDescent="0.2">
      <c r="A8" s="10" t="s">
        <v>3</v>
      </c>
      <c r="B8" s="10" t="s">
        <v>4</v>
      </c>
      <c r="C8" s="11" t="s">
        <v>5</v>
      </c>
      <c r="D8" s="10" t="s">
        <v>6</v>
      </c>
    </row>
    <row r="9" spans="1:4" ht="17" x14ac:dyDescent="0.2">
      <c r="A9" s="12" t="s">
        <v>7</v>
      </c>
      <c r="B9" s="13" t="s">
        <v>8</v>
      </c>
      <c r="C9" s="14">
        <v>0</v>
      </c>
      <c r="D9" s="13"/>
    </row>
    <row r="10" spans="1:4" ht="17" x14ac:dyDescent="0.2">
      <c r="A10" s="37" t="s">
        <v>9</v>
      </c>
      <c r="B10" s="13" t="s">
        <v>10</v>
      </c>
      <c r="C10" s="14">
        <v>0</v>
      </c>
      <c r="D10" s="13"/>
    </row>
    <row r="11" spans="1:4" ht="51" x14ac:dyDescent="0.2">
      <c r="A11" s="38"/>
      <c r="B11" s="13" t="s">
        <v>11</v>
      </c>
      <c r="C11" s="14">
        <v>0</v>
      </c>
      <c r="D11" s="13"/>
    </row>
    <row r="12" spans="1:4" ht="50" customHeight="1" x14ac:dyDescent="0.2">
      <c r="A12" s="15" t="s">
        <v>12</v>
      </c>
      <c r="B12" s="2"/>
      <c r="C12" s="32">
        <f>SUM(C9:C11)</f>
        <v>0</v>
      </c>
      <c r="D12" s="2"/>
    </row>
    <row r="13" spans="1:4" ht="17" x14ac:dyDescent="0.2">
      <c r="A13" s="12" t="s">
        <v>13</v>
      </c>
      <c r="B13" s="13" t="s">
        <v>14</v>
      </c>
      <c r="C13" s="14">
        <v>250</v>
      </c>
      <c r="D13" s="13"/>
    </row>
    <row r="14" spans="1:4" ht="34" x14ac:dyDescent="0.2">
      <c r="A14" s="37" t="s">
        <v>15</v>
      </c>
      <c r="B14" s="13" t="s">
        <v>16</v>
      </c>
      <c r="C14" s="14">
        <v>1500</v>
      </c>
      <c r="D14" s="13" t="s">
        <v>55</v>
      </c>
    </row>
    <row r="15" spans="1:4" ht="17" x14ac:dyDescent="0.2">
      <c r="A15" s="37"/>
      <c r="B15" s="13" t="s">
        <v>17</v>
      </c>
      <c r="C15" s="14">
        <v>250</v>
      </c>
      <c r="D15" s="13" t="s">
        <v>54</v>
      </c>
    </row>
    <row r="16" spans="1:4" ht="51" x14ac:dyDescent="0.2">
      <c r="A16" s="38"/>
      <c r="B16" s="13" t="s">
        <v>18</v>
      </c>
      <c r="C16" s="14">
        <v>0</v>
      </c>
      <c r="D16" s="13"/>
    </row>
    <row r="17" spans="1:4" ht="50" customHeight="1" x14ac:dyDescent="0.2">
      <c r="A17" s="15" t="s">
        <v>19</v>
      </c>
      <c r="B17" s="2"/>
      <c r="C17" s="32">
        <f>SUM(C13:C16)</f>
        <v>2000</v>
      </c>
      <c r="D17" s="2"/>
    </row>
    <row r="18" spans="1:4" ht="17" x14ac:dyDescent="0.2">
      <c r="A18" s="12" t="s">
        <v>20</v>
      </c>
      <c r="B18" s="13" t="s">
        <v>21</v>
      </c>
      <c r="C18" s="14">
        <v>7400</v>
      </c>
      <c r="D18" s="13"/>
    </row>
    <row r="19" spans="1:4" ht="17" x14ac:dyDescent="0.2">
      <c r="A19" s="37" t="s">
        <v>22</v>
      </c>
      <c r="B19" s="13" t="s">
        <v>23</v>
      </c>
      <c r="C19" s="14">
        <v>1200</v>
      </c>
      <c r="D19" s="13"/>
    </row>
    <row r="20" spans="1:4" ht="17" x14ac:dyDescent="0.2">
      <c r="A20" s="37"/>
      <c r="B20" s="13" t="s">
        <v>24</v>
      </c>
      <c r="C20" s="14">
        <v>0</v>
      </c>
      <c r="D20" s="13"/>
    </row>
    <row r="21" spans="1:4" ht="17" x14ac:dyDescent="0.2">
      <c r="A21" s="37"/>
      <c r="B21" s="13" t="s">
        <v>25</v>
      </c>
      <c r="C21" s="14">
        <v>0</v>
      </c>
      <c r="D21" s="13"/>
    </row>
    <row r="22" spans="1:4" ht="17" x14ac:dyDescent="0.2">
      <c r="A22" s="37"/>
      <c r="B22" s="13" t="s">
        <v>26</v>
      </c>
      <c r="C22" s="14">
        <v>0</v>
      </c>
      <c r="D22" s="13"/>
    </row>
    <row r="23" spans="1:4" ht="17" x14ac:dyDescent="0.2">
      <c r="A23" s="37"/>
      <c r="B23" s="13" t="s">
        <v>27</v>
      </c>
      <c r="C23" s="14">
        <v>0</v>
      </c>
      <c r="D23" s="13"/>
    </row>
    <row r="24" spans="1:4" ht="51" x14ac:dyDescent="0.2">
      <c r="A24" s="38"/>
      <c r="B24" s="13" t="s">
        <v>28</v>
      </c>
      <c r="C24" s="14">
        <v>1100</v>
      </c>
      <c r="D24" s="13" t="s">
        <v>57</v>
      </c>
    </row>
    <row r="25" spans="1:4" ht="50" customHeight="1" x14ac:dyDescent="0.2">
      <c r="A25" s="15" t="s">
        <v>29</v>
      </c>
      <c r="B25" s="2"/>
      <c r="C25" s="32">
        <f>SUM(C18:C24)</f>
        <v>9700</v>
      </c>
      <c r="D25" s="2"/>
    </row>
    <row r="26" spans="1:4" ht="51" x14ac:dyDescent="0.2">
      <c r="A26" s="16" t="s">
        <v>30</v>
      </c>
      <c r="B26" s="13" t="s">
        <v>31</v>
      </c>
      <c r="C26" s="14">
        <v>0</v>
      </c>
      <c r="D26" s="13"/>
    </row>
    <row r="27" spans="1:4" ht="50" customHeight="1" x14ac:dyDescent="0.2">
      <c r="A27" s="15" t="s">
        <v>32</v>
      </c>
      <c r="B27" s="2"/>
      <c r="C27" s="32">
        <f>C26</f>
        <v>0</v>
      </c>
      <c r="D27" s="2"/>
    </row>
    <row r="28" spans="1:4" ht="50" customHeight="1" x14ac:dyDescent="0.2">
      <c r="A28" s="17" t="s">
        <v>33</v>
      </c>
      <c r="B28" s="2"/>
      <c r="C28" s="32">
        <f>C12+C17+C25+C27</f>
        <v>11700</v>
      </c>
      <c r="D28" s="2"/>
    </row>
    <row r="29" spans="1:4" ht="33.75" customHeight="1" x14ac:dyDescent="0.2">
      <c r="A29" s="39" t="s">
        <v>34</v>
      </c>
      <c r="B29" s="18" t="s">
        <v>35</v>
      </c>
      <c r="C29" s="14">
        <v>0</v>
      </c>
      <c r="D29" s="13" t="s">
        <v>47</v>
      </c>
    </row>
    <row r="30" spans="1:4" ht="22.5" customHeight="1" x14ac:dyDescent="0.2">
      <c r="A30" s="40"/>
      <c r="B30" s="18" t="s">
        <v>36</v>
      </c>
      <c r="C30" s="14">
        <v>0</v>
      </c>
      <c r="D30" s="13" t="s">
        <v>37</v>
      </c>
    </row>
    <row r="31" spans="1:4" ht="50" customHeight="1" x14ac:dyDescent="0.2">
      <c r="A31" s="15" t="s">
        <v>38</v>
      </c>
      <c r="B31" s="19"/>
      <c r="C31" s="32">
        <f>SUM(C29:C30)</f>
        <v>0</v>
      </c>
      <c r="D31" s="2"/>
    </row>
    <row r="32" spans="1:4" ht="16" x14ac:dyDescent="0.2">
      <c r="A32" s="13"/>
      <c r="B32" s="13"/>
      <c r="C32" s="20"/>
      <c r="D32" s="13"/>
    </row>
    <row r="33" spans="1:4" ht="50" customHeight="1" x14ac:dyDescent="0.2">
      <c r="A33" s="21" t="s">
        <v>39</v>
      </c>
      <c r="B33" s="22"/>
      <c r="C33" s="29">
        <f>C12+C17+C25+C27+C31</f>
        <v>11700</v>
      </c>
      <c r="D33" s="22"/>
    </row>
    <row r="34" spans="1:4" ht="63" customHeight="1" x14ac:dyDescent="0.2">
      <c r="A34" s="16" t="s">
        <v>40</v>
      </c>
      <c r="B34" s="13" t="s">
        <v>41</v>
      </c>
      <c r="C34" s="31">
        <f>0.075*C33</f>
        <v>877.5</v>
      </c>
      <c r="D34" s="13" t="s">
        <v>42</v>
      </c>
    </row>
    <row r="35" spans="1:4" ht="16" x14ac:dyDescent="0.2">
      <c r="A35" s="23"/>
      <c r="B35" s="23"/>
      <c r="C35" s="24"/>
      <c r="D35" s="23"/>
    </row>
    <row r="36" spans="1:4" ht="50" customHeight="1" x14ac:dyDescent="0.2">
      <c r="A36" s="25" t="s">
        <v>43</v>
      </c>
      <c r="B36" s="26"/>
      <c r="C36" s="30">
        <f>C33+C34</f>
        <v>12577.5</v>
      </c>
      <c r="D36" s="26"/>
    </row>
    <row r="38" spans="1:4" ht="18" thickBot="1" x14ac:dyDescent="0.25">
      <c r="A38" s="41" t="s">
        <v>44</v>
      </c>
      <c r="B38" s="41"/>
      <c r="C38" s="41"/>
      <c r="D38" s="41"/>
    </row>
    <row r="39" spans="1:4" s="27" customFormat="1" ht="21" customHeight="1" thickTop="1" x14ac:dyDescent="0.2">
      <c r="A39" s="34" t="s">
        <v>48</v>
      </c>
      <c r="B39" s="34"/>
      <c r="C39" s="34"/>
      <c r="D39" s="34"/>
    </row>
    <row r="40" spans="1:4" s="27" customFormat="1" ht="21" customHeight="1" x14ac:dyDescent="0.2">
      <c r="A40" s="36" t="s">
        <v>49</v>
      </c>
      <c r="B40" s="36"/>
      <c r="C40" s="36"/>
      <c r="D40" s="36"/>
    </row>
    <row r="41" spans="1:4" s="27" customFormat="1" ht="61.25" customHeight="1" x14ac:dyDescent="0.2">
      <c r="A41" s="35" t="s">
        <v>53</v>
      </c>
      <c r="B41" s="35"/>
      <c r="C41" s="35"/>
      <c r="D41" s="35"/>
    </row>
    <row r="42" spans="1:4" s="27" customFormat="1" ht="110.25" customHeight="1" x14ac:dyDescent="0.2">
      <c r="A42" s="35" t="s">
        <v>52</v>
      </c>
      <c r="B42" s="35"/>
      <c r="C42" s="35"/>
      <c r="D42" s="35"/>
    </row>
    <row r="43" spans="1:4" s="27" customFormat="1" ht="39" customHeight="1" x14ac:dyDescent="0.2">
      <c r="A43" s="35" t="s">
        <v>50</v>
      </c>
      <c r="B43" s="35"/>
      <c r="C43" s="35"/>
      <c r="D43" s="35"/>
    </row>
    <row r="44" spans="1:4" s="27" customFormat="1" ht="37.5" customHeight="1" x14ac:dyDescent="0.2">
      <c r="A44" s="35" t="s">
        <v>51</v>
      </c>
      <c r="B44" s="35"/>
      <c r="C44" s="35"/>
      <c r="D44" s="35"/>
    </row>
    <row r="48" spans="1:4" x14ac:dyDescent="0.2">
      <c r="A48" s="5" t="s">
        <v>45</v>
      </c>
    </row>
  </sheetData>
  <sheetProtection sheet="1" formatCells="0" formatColumns="0" formatRows="0" insertColumns="0" insertRows="0" insertHyperlinks="0" deleteColumns="0" deleteRows="0" sort="0" autoFilter="0" pivotTables="0"/>
  <mergeCells count="12">
    <mergeCell ref="A39:D39"/>
    <mergeCell ref="A2:D2"/>
    <mergeCell ref="A43:D43"/>
    <mergeCell ref="A44:D44"/>
    <mergeCell ref="A40:D40"/>
    <mergeCell ref="A41:D41"/>
    <mergeCell ref="A42:D42"/>
    <mergeCell ref="A10:A11"/>
    <mergeCell ref="A14:A16"/>
    <mergeCell ref="A19:A24"/>
    <mergeCell ref="A29:A30"/>
    <mergeCell ref="A38:D38"/>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eff5c7f-5b52-4d1a-8327-12d39ea0baa2">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30ed30c6-afd6-4485-ba6a-f98e32354150" xsi:nil="true"/>
    <SharedWithUsers xmlns="30ed30c6-afd6-4485-ba6a-f98e32354150">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4C7DBD710CE34383BB5D55D18C2C2C" ma:contentTypeVersion="16" ma:contentTypeDescription="Create a new document." ma:contentTypeScope="" ma:versionID="80a2335f0cc485238a7b478adf11a2f1">
  <xsd:schema xmlns:xsd="http://www.w3.org/2001/XMLSchema" xmlns:xs="http://www.w3.org/2001/XMLSchema" xmlns:p="http://schemas.microsoft.com/office/2006/metadata/properties" xmlns:ns1="http://schemas.microsoft.com/sharepoint/v3" xmlns:ns2="beff5c7f-5b52-4d1a-8327-12d39ea0baa2" xmlns:ns3="30ed30c6-afd6-4485-ba6a-f98e32354150" targetNamespace="http://schemas.microsoft.com/office/2006/metadata/properties" ma:root="true" ma:fieldsID="1296ce6841538bec51e32a12edc62984" ns1:_="" ns2:_="" ns3:_="">
    <xsd:import namespace="http://schemas.microsoft.com/sharepoint/v3"/>
    <xsd:import namespace="beff5c7f-5b52-4d1a-8327-12d39ea0baa2"/>
    <xsd:import namespace="30ed30c6-afd6-4485-ba6a-f98e3235415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ff5c7f-5b52-4d1a-8327-12d39ea0ba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f0c22b9-91b4-4bca-8bee-587ad390193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ed30c6-afd6-4485-ba6a-f98e3235415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f8a6d202-1675-4592-bfdb-bcecc3d88ea2}" ma:internalName="TaxCatchAll" ma:showField="CatchAllData" ma:web="30ed30c6-afd6-4485-ba6a-f98e323541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4CCE16-74C0-44D0-AE6E-AE401CA75219}">
  <ds:schemaRefs>
    <ds:schemaRef ds:uri="http://schemas.microsoft.com/office/2006/metadata/properties"/>
    <ds:schemaRef ds:uri="http://www.w3.org/2000/xmlns/"/>
    <ds:schemaRef ds:uri="beff5c7f-5b52-4d1a-8327-12d39ea0baa2"/>
    <ds:schemaRef ds:uri="http://schemas.microsoft.com/office/infopath/2007/PartnerControls"/>
    <ds:schemaRef ds:uri="http://schemas.microsoft.com/sharepoint/v3"/>
    <ds:schemaRef ds:uri="http://www.w3.org/2001/XMLSchema-instance"/>
    <ds:schemaRef ds:uri="30ed30c6-afd6-4485-ba6a-f98e32354150"/>
  </ds:schemaRefs>
</ds:datastoreItem>
</file>

<file path=customXml/itemProps2.xml><?xml version="1.0" encoding="utf-8"?>
<ds:datastoreItem xmlns:ds="http://schemas.openxmlformats.org/officeDocument/2006/customXml" ds:itemID="{88C6C306-0E09-4D8A-8628-061E3A422E80}">
  <ds:schemaRefs>
    <ds:schemaRef ds:uri="http://schemas.microsoft.com/sharepoint/v3/contenttype/forms"/>
  </ds:schemaRefs>
</ds:datastoreItem>
</file>

<file path=customXml/itemProps3.xml><?xml version="1.0" encoding="utf-8"?>
<ds:datastoreItem xmlns:ds="http://schemas.openxmlformats.org/officeDocument/2006/customXml" ds:itemID="{D5695869-3D73-40AF-B530-EF1A6183B3BD}">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beff5c7f-5b52-4d1a-8327-12d39ea0baa2"/>
    <ds:schemaRef ds:uri="30ed30c6-afd6-4485-ba6a-f98e32354150"/>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728cf0c-0652-430c-aecd-f311d1d5020f}" enabled="0" method="" siteId="{5728cf0c-0652-430c-aecd-f311d1d5020f}"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Annual Funding Request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Sharla Lair</dc:creator>
  <cp:keywords/>
  <dc:description/>
  <cp:lastModifiedBy>Park, Dave</cp:lastModifiedBy>
  <cp:revision/>
  <dcterms:created xsi:type="dcterms:W3CDTF">2026-04-10T20:55:59Z</dcterms:created>
  <dcterms:modified xsi:type="dcterms:W3CDTF">2026-06-29T17:35:14Z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0x0101008D4C7DBD710CE34383BB5D55D18C2C2C</vt:lpwstr>
  </property>
  <property fmtid="{D5CDD505-2E9C-101B-9397-08002B2CF9AE}" pid="3" name="Order">
    <vt:r8>1329600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activity">
    <vt:lpwstr>{"FileActivityType":"9","FileActivityTimeStamp":"2026-04-14T16:57:39.097Z","FileActivityUsersOnPage":[{"DisplayName":"Melissa Seelye","Id":"seelye@lyrasis.org"},{"DisplayName":"Sharla Lair","Id":"lair@lyrasis.org"},{"DisplayName":"Melissa Seelye","Id":"seelye@lyrasis.org"}],"FileActivityNavigationId":null}</vt:lpwstr>
  </property>
  <property fmtid="{D5CDD505-2E9C-101B-9397-08002B2CF9AE}" pid="8" name="TriggerFlowInfo">
    <vt:lpwstr/>
  </property>
  <property fmtid="{D5CDD505-2E9C-101B-9397-08002B2CF9AE}" pid="9" name="MediaServiceImageTags">
    <vt:lpwstr/>
  </property>
  <property fmtid="{D5CDD505-2E9C-101B-9397-08002B2CF9AE}" pid="10" name="MSIP_Label_f2dee603-0001-4639-81f8-0608a53322f1_Enabled">
    <vt:lpwstr>true</vt:lpwstr>
  </property>
  <property fmtid="{D5CDD505-2E9C-101B-9397-08002B2CF9AE}" pid="11" name="MSIP_Label_f2dee603-0001-4639-81f8-0608a53322f1_SetDate">
    <vt:lpwstr>2026-06-28T18:51:32Z</vt:lpwstr>
  </property>
  <property fmtid="{D5CDD505-2E9C-101B-9397-08002B2CF9AE}" pid="12" name="MSIP_Label_f2dee603-0001-4639-81f8-0608a53322f1_Method">
    <vt:lpwstr>Standard</vt:lpwstr>
  </property>
  <property fmtid="{D5CDD505-2E9C-101B-9397-08002B2CF9AE}" pid="13" name="MSIP_Label_f2dee603-0001-4639-81f8-0608a53322f1_Name">
    <vt:lpwstr>defa4170-0d19-0005-0004-bc88714345d2</vt:lpwstr>
  </property>
  <property fmtid="{D5CDD505-2E9C-101B-9397-08002B2CF9AE}" pid="14" name="MSIP_Label_f2dee603-0001-4639-81f8-0608a53322f1_SiteId">
    <vt:lpwstr>b4478c05-3dd9-4e06-a7fb-5dcf72bd44ee</vt:lpwstr>
  </property>
  <property fmtid="{D5CDD505-2E9C-101B-9397-08002B2CF9AE}" pid="15" name="MSIP_Label_f2dee603-0001-4639-81f8-0608a53322f1_ActionId">
    <vt:lpwstr>c09cf668-431d-47b0-8a57-4f27c65be37c</vt:lpwstr>
  </property>
  <property fmtid="{D5CDD505-2E9C-101B-9397-08002B2CF9AE}" pid="16" name="MSIP_Label_f2dee603-0001-4639-81f8-0608a53322f1_ContentBits">
    <vt:lpwstr>0</vt:lpwstr>
  </property>
  <property fmtid="{D5CDD505-2E9C-101B-9397-08002B2CF9AE}" pid="17" name="MSIP_Label_f2dee603-0001-4639-81f8-0608a53322f1_Tag">
    <vt:lpwstr>50, 3, 0, 1</vt:lpwstr>
  </property>
</Properties>
</file>